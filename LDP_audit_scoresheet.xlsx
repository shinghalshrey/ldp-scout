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dit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<sst xmlns="http://schemas.openxmlformats.org/spreadsheetml/2006/main" count="190" uniqueCount="131">
  <si>
    <t xml:space="preserve">#</t>
  </si>
  <si>
    <t xml:space="preserve">ID</t>
  </si>
  <si>
    <t xml:space="preserve">Company</t>
  </si>
  <si>
    <t xml:space="preserve">Program</t>
  </si>
  <si>
    <t xml:space="preserve">Type</t>
  </si>
  <si>
    <t xml:space="preserve">Tier</t>
  </si>
  <si>
    <t xml:space="preserve">Source URL</t>
  </si>
  <si>
    <t xml:space="preserve">Score</t>
  </si>
  <si>
    <t xml:space="preserve">Notes</t>
  </si>
  <si>
    <t xml:space="preserve">Ecolab</t>
  </si>
  <si>
    <t xml:space="preserve">MBA Marketing Internship</t>
  </si>
  <si>
    <t xml:space="preserve">Internship</t>
  </si>
  <si>
    <t xml:space="preserve">T1</t>
  </si>
  <si>
    <t xml:space="preserve">https://www.mba-exchange.com/candidates/mba-jobs-company-profile_p.php?cpyID=13187&amp;cppID=2310&amp;devprogram</t>
  </si>
  <si>
    <t xml:space="preserve">Merck KGaA</t>
  </si>
  <si>
    <t xml:space="preserve">Associate, GOglobal Graduate Program (International)</t>
  </si>
  <si>
    <t xml:space="preserve">Full Time</t>
  </si>
  <si>
    <t xml:space="preserve">https://www.mba-exchange.com/candidates/mba-jobs-company-profile_p.php?cpyID=15158&amp;cppID=6467&amp;devprogram</t>
  </si>
  <si>
    <t xml:space="preserve">Walmart</t>
  </si>
  <si>
    <t xml:space="preserve">Summer 2026 MBA Intern: Merchandising Leadership Program, MBA Intern</t>
  </si>
  <si>
    <t xml:space="preserve">https://www.mba-exchange.com/candidates/mba-jobs-company-profile_p.php?cpyID=16268&amp;cppID=2746&amp;devprogram</t>
  </si>
  <si>
    <t xml:space="preserve">GE</t>
  </si>
  <si>
    <t xml:space="preserve">Business Management Leadership Program</t>
  </si>
  <si>
    <t xml:space="preserve">https://www.mba-exchange.com/candidates/mba-jobs-company-profile_p.php?cpyID=1383&amp;cppID=2678&amp;devprogram</t>
  </si>
  <si>
    <t xml:space="preserve">Stellantis</t>
  </si>
  <si>
    <t xml:space="preserve">Corporate Leadership Development (CLD) Program - Audit</t>
  </si>
  <si>
    <t xml:space="preserve">https://www.mba-exchange.com/candidates/mba-jobs-company-profile_p.php?cpyID=22636&amp;cppID=3340&amp;devprogram</t>
  </si>
  <si>
    <t xml:space="preserve">T-Mobile</t>
  </si>
  <si>
    <t xml:space="preserve">Marketing Internships</t>
  </si>
  <si>
    <t xml:space="preserve">https://www.mba-exchange.com/candidates/mba-jobs-company-profile_p.php?cpyID=3157&amp;cppID=2548&amp;devprogram</t>
  </si>
  <si>
    <t xml:space="preserve">Amazon</t>
  </si>
  <si>
    <t xml:space="preserve">Launch MBA Internship</t>
  </si>
  <si>
    <t xml:space="preserve">https://www.mba-exchange.com/candidates/mba-jobs-company-profile_p.php?cpyID=258&amp;cppID=5687&amp;devprogram</t>
  </si>
  <si>
    <t xml:space="preserve">Vanguard</t>
  </si>
  <si>
    <t xml:space="preserve">MBA Internship General Management</t>
  </si>
  <si>
    <t xml:space="preserve">https://www.mba-exchange.com/candidates/mba-jobs-company-profile_p.php?cpyID=16559&amp;cppID=816&amp;devprogram</t>
  </si>
  <si>
    <t xml:space="preserve">Apple</t>
  </si>
  <si>
    <t xml:space="preserve">Supply Chain Operations Graduate Programme</t>
  </si>
  <si>
    <t xml:space="preserve">https://www.mba-exchange.com/candidates/mba-jobs-company-profile_p.php?cpyID=4040&amp;cppID=3236&amp;devprogram</t>
  </si>
  <si>
    <t xml:space="preserve">Amgen</t>
  </si>
  <si>
    <t xml:space="preserve">Graduate Intern - Information Systems</t>
  </si>
  <si>
    <t xml:space="preserve">https://www.mba-exchange.com/candidates/mba-jobs-company-profile_p.php?cpyID=1834&amp;cppID=1717&amp;devprogram</t>
  </si>
  <si>
    <t xml:space="preserve">ServiceNow</t>
  </si>
  <si>
    <t xml:space="preserve">Finance Leadership Rotational Program (FLRP)</t>
  </si>
  <si>
    <t xml:space="preserve">T2</t>
  </si>
  <si>
    <t xml:space="preserve">https://www.mba-exchange.com/candidates/mba-jobs-company-profile_p.php?cpyID=20844&amp;cppID=2789&amp;devprogram</t>
  </si>
  <si>
    <t xml:space="preserve">Nationwide Insurance</t>
  </si>
  <si>
    <t xml:space="preserve">Financial Leadership Rotation Program Internship</t>
  </si>
  <si>
    <t xml:space="preserve">https://www.mba-exchange.com/candidates/mba-jobs-company-profile_p.php?cpyID=16993&amp;cppID=1878&amp;devprogram</t>
  </si>
  <si>
    <t xml:space="preserve">Mattel Inc.</t>
  </si>
  <si>
    <t xml:space="preserve">MBA Finance Internship</t>
  </si>
  <si>
    <t xml:space="preserve">https://www.mba-exchange.com/candidates/mba-jobs-company-profile_p.php?cpyID=16811&amp;cppID=2781&amp;devprogram</t>
  </si>
  <si>
    <t xml:space="preserve">Citi</t>
  </si>
  <si>
    <t xml:space="preserve">Personal Banking Summer Leadership Associate</t>
  </si>
  <si>
    <t xml:space="preserve">https://www.mba-exchange.com/candidates/mba-jobs-company-profile_p.php?cpyID=782&amp;cppID=4324&amp;devprogram</t>
  </si>
  <si>
    <t xml:space="preserve">Baxter</t>
  </si>
  <si>
    <t xml:space="preserve">Information Technology Development Program Intern (ITDiP)</t>
  </si>
  <si>
    <t xml:space="preserve">https://www.mba-exchange.com/candidates/mba-jobs-company-profile_p.php?cpyID=5655&amp;cppID=1164&amp;devprogram</t>
  </si>
  <si>
    <t xml:space="preserve">USAA</t>
  </si>
  <si>
    <t xml:space="preserve">Enterprise Strategy Marketing MBA Intern</t>
  </si>
  <si>
    <t xml:space="preserve">https://www.mba-exchange.com/candidates/mba-jobs-company-profile_p.php?cpyID=16740&amp;cppID=2190&amp;devprogram</t>
  </si>
  <si>
    <t xml:space="preserve">Bristol-Myers Squibb</t>
  </si>
  <si>
    <t xml:space="preserve">MBA Business Development Associates Program Full-time</t>
  </si>
  <si>
    <t xml:space="preserve">https://www.mba-exchange.com/candidates/mba-jobs-company-profile_p.php?cpyID=16303&amp;cppID=6024&amp;devprogram</t>
  </si>
  <si>
    <t xml:space="preserve">Discover Financial Services</t>
  </si>
  <si>
    <t xml:space="preserve">General Business MBA Leadership Rotational Program</t>
  </si>
  <si>
    <t xml:space="preserve">https://www.mba-exchange.com/candidates/mba-jobs-company-profile_p.php?cpyID=17002&amp;cppID=2376&amp;devprogram</t>
  </si>
  <si>
    <t xml:space="preserve">Cigna</t>
  </si>
  <si>
    <t xml:space="preserve">Marketing Leadership Development Program (MLDP) - Summer Associate, MBA Track</t>
  </si>
  <si>
    <t xml:space="preserve">https://www.mba-exchange.com/candidates/mba-jobs-company-profile_p.php?cpyID=16605&amp;cppID=1441&amp;devprogram</t>
  </si>
  <si>
    <t xml:space="preserve">State Street</t>
  </si>
  <si>
    <t xml:space="preserve">Finance Graduate Program Internship</t>
  </si>
  <si>
    <t xml:space="preserve">https://www.mba-exchange.com/candidates/mba-jobs-company-profile_p.php?cpyID=16932&amp;cppID=1332&amp;devprogram</t>
  </si>
  <si>
    <t xml:space="preserve">AbbVie</t>
  </si>
  <si>
    <t xml:space="preserve">Commercial Leader Program MBA Internship</t>
  </si>
  <si>
    <t xml:space="preserve">https://www.mba-exchange.com/candidates/mba-jobs-company-profile_p.php?cpyID=17148&amp;cppID=2356&amp;devprogram</t>
  </si>
  <si>
    <t xml:space="preserve">Cardinal Health</t>
  </si>
  <si>
    <t xml:space="preserve">https://www.mba-exchange.com/candidates/mba-jobs-company-profile_p.php?cpyID=676&amp;cppID=2652&amp;devprogram</t>
  </si>
  <si>
    <t xml:space="preserve">Operations Intern (MBA)</t>
  </si>
  <si>
    <t xml:space="preserve">https://www.mba-exchange.com/candidates/mba-jobs-company-profile_p.php?cpyID=16740&amp;cppID=2191&amp;devprogram</t>
  </si>
  <si>
    <t xml:space="preserve">Kaiser Permanente</t>
  </si>
  <si>
    <t xml:space="preserve">Kaiser Permanente Administrative Fellowship program</t>
  </si>
  <si>
    <t xml:space="preserve">https://www.mba-exchange.com/candidates/mba-jobs-company-profile_p.php?cpyID=15336&amp;cppID=721&amp;devprogram</t>
  </si>
  <si>
    <t xml:space="preserve">World Bank Group</t>
  </si>
  <si>
    <t xml:space="preserve">Young Professionals Program (YPP)</t>
  </si>
  <si>
    <t xml:space="preserve">https://www.mba-exchange.com/candidates/mba-jobs-company-profile_p.php?cpyID=16776&amp;cppID=1161&amp;devprogram</t>
  </si>
  <si>
    <t xml:space="preserve">DTE Energy</t>
  </si>
  <si>
    <t xml:space="preserve">Corporate Strategy &amp; Finance Leadership Development Program</t>
  </si>
  <si>
    <t xml:space="preserve">https://www.mba-exchange.com/candidates/mba-jobs-company-profile_p.php?cpyID=17001&amp;cppID=5744&amp;devprogram</t>
  </si>
  <si>
    <t xml:space="preserve">MSD</t>
  </si>
  <si>
    <t xml:space="preserve">MBA Rotational Program</t>
  </si>
  <si>
    <t xml:space="preserve">https://www.mba-exchange.com/candidates/mba-jobs-company-profile_p.php?cpyID=8413&amp;cppID=2712&amp;devprogram</t>
  </si>
  <si>
    <t xml:space="preserve">CIBC</t>
  </si>
  <si>
    <t xml:space="preserve">First Nations, Inuit, or MÃ©tis Candidates - Graduate Leadership Development Program</t>
  </si>
  <si>
    <t xml:space="preserve">https://www.mba-exchange.com/candidates/mba-jobs-company-profile_p.php?cpyID=7380&amp;cppID=4941&amp;devprogram</t>
  </si>
  <si>
    <t xml:space="preserve">Financial Services Leadership Rotation Program - Management Associate</t>
  </si>
  <si>
    <t xml:space="preserve">https://www.mba-exchange.com/candidates/mba-jobs-company-profile_p.php?cpyID=16993&amp;cppID=717&amp;devprogram</t>
  </si>
  <si>
    <t xml:space="preserve">Lenovo</t>
  </si>
  <si>
    <t xml:space="preserve">Alliances Program Specialist - Global Future Leaders Program</t>
  </si>
  <si>
    <t xml:space="preserve">https://www.mba-exchange.com/candidates/mba-jobs-company-profile_p.php?cpyID=19058&amp;cppID=6112&amp;devprogram</t>
  </si>
  <si>
    <t xml:space="preserve">LDP Scout — P4 Sample Audit Summary</t>
  </si>
  <si>
    <t xml:space="preserve">Sample: 30 programs · Population: 344 (T1=236, T2=108)  ·  Seed: 20260516</t>
  </si>
  <si>
    <t xml:space="preserve">Population (auditable)</t>
  </si>
  <si>
    <t xml:space="preserve">New programs migrated with a source_url (T1+T2).</t>
  </si>
  <si>
    <t xml:space="preserve">  Tier 1 (in 2025 rankings)</t>
  </si>
  <si>
    <t xml:space="preserve">Confirmed-active companies from the rankings PDF.</t>
  </si>
  <si>
    <t xml:space="preserve">  Tier 2 (major global cos)</t>
  </si>
  <si>
    <t xml:space="preserve">Major Fortune 500 / well-known firms; not in the explicit list.</t>
  </si>
  <si>
    <t xml:space="preserve">Sample size</t>
  </si>
  <si>
    <t xml:space="preserve">10 random T1 + 20 random T2.</t>
  </si>
  <si>
    <t xml:space="preserve">Scores entered</t>
  </si>
  <si>
    <t xml:space="preserve">  good</t>
  </si>
  <si>
    <t xml:space="preserve">  minor</t>
  </si>
  <si>
    <t xml:space="preserve">  remove</t>
  </si>
  <si>
    <t xml:space="preserve">  blank (not yet scored)</t>
  </si>
  <si>
    <t xml:space="preserve">Rates (within scored rows)</t>
  </si>
  <si>
    <t xml:space="preserve">  good %</t>
  </si>
  <si>
    <t xml:space="preserve">  minor %</t>
  </si>
  <si>
    <t xml:space="preserve">  bad % (remove)</t>
  </si>
  <si>
    <t xml:space="preserve">Extrapolation to population</t>
  </si>
  <si>
    <t xml:space="preserve">  Expected bad in population</t>
  </si>
  <si>
    <t xml:space="preserve">B19 × 344. Rough; small sample → wide CI.</t>
  </si>
  <si>
    <t xml:space="preserve">  Expected good in population</t>
  </si>
  <si>
    <t xml:space="preserve">Decision</t>
  </si>
  <si>
    <t xml:space="preserve">Thresholds match the brief: &lt;10% ship · &gt;25% re-filter.</t>
  </si>
  <si>
    <t xml:space="preserve">How to use</t>
  </si>
  <si>
    <t xml:space="preserve">1. Open each row in the Audit tab and visit its Source URL.</t>
  </si>
  <si>
    <t xml:space="preserve">2. Pick a score from the dropdown in column H.</t>
  </si>
  <si>
    <t xml:space="preserve">3. Add a short note in column I (e.g. "broken link", "MBA-only — internship", "wrong sector").</t>
  </si>
  <si>
    <t xml:space="preserve">4. Don't stop early — the brief explicitly says "bad data clusters; don't stop at 5".</t>
  </si>
  <si>
    <t xml:space="preserve">5. When all 30 are scored, this Summary tab tells you whether to ship or re-filter.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</si>
</sst>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name val="Arial"/>
      <family val="0"/>
      <charset val="1"/>
    </font>
    <font>
      <sz val="11"/>
      <color rgb="FF006100"/>
      <name val="Arial"/>
      <family val="0"/>
      <charset val="1"/>
    </font>
    <font>
      <sz val="11"/>
      <color rgb="FF9C5700"/>
      <name val="Arial"/>
      <family val="0"/>
      <charset val="1"/>
    </font>
    <font>
      <sz val="11"/>
      <color rgb="FF9C0006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AF3FB"/>
        <bgColor rgb="FFFFF8E7"/>
      </patternFill>
    </fill>
    <fill>
      <patternFill patternType="solid">
        <fgColor rgb="FFFFF8E7"/>
        <bgColor rgb="FFFFFFFF"/>
      </patternFill>
    </fill>
    <fill>
      <patternFill patternType="solid">
        <fgColor rgb="FFFFEB9C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7"/>
      <rgbColor rgb="FFEAF3FB"/>
      <rgbColor rgb="FF660066"/>
      <rgbColor rgb="FFFF8080"/>
      <rgbColor rgb="FF0563C1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mba-exchange.com/candidates/mba-jobs-company-profile_p.php?cpyID=13187&amp;cppID=2310&amp;devprogram" TargetMode="External"/><Relationship Id="rId2" Type="http://schemas.openxmlformats.org/officeDocument/2006/relationships/hyperlink" Target="https://www.mba-exchange.com/candidates/mba-jobs-company-profile_p.php?cpyID=15158&amp;cppID=6467&amp;devprogram" TargetMode="External"/><Relationship Id="rId3" Type="http://schemas.openxmlformats.org/officeDocument/2006/relationships/hyperlink" Target="https://www.mba-exchange.com/candidates/mba-jobs-company-profile_p.php?cpyID=16268&amp;cppID=2746&amp;devprogram" TargetMode="External"/><Relationship Id="rId4" Type="http://schemas.openxmlformats.org/officeDocument/2006/relationships/hyperlink" Target="https://www.mba-exchange.com/candidates/mba-jobs-company-profile_p.php?cpyID=1383&amp;cppID=2678&amp;devprogram" TargetMode="External"/><Relationship Id="rId5" Type="http://schemas.openxmlformats.org/officeDocument/2006/relationships/hyperlink" Target="https://www.mba-exchange.com/candidates/mba-jobs-company-profile_p.php?cpyID=22636&amp;cppID=3340&amp;devprogram" TargetMode="External"/><Relationship Id="rId6" Type="http://schemas.openxmlformats.org/officeDocument/2006/relationships/hyperlink" Target="https://www.mba-exchange.com/candidates/mba-jobs-company-profile_p.php?cpyID=3157&amp;cppID=2548&amp;devprogram" TargetMode="External"/><Relationship Id="rId7" Type="http://schemas.openxmlformats.org/officeDocument/2006/relationships/hyperlink" Target="https://www.mba-exchange.com/candidates/mba-jobs-company-profile_p.php?cpyID=258&amp;cppID=5687&amp;devprogram" TargetMode="External"/><Relationship Id="rId8" Type="http://schemas.openxmlformats.org/officeDocument/2006/relationships/hyperlink" Target="https://www.mba-exchange.com/candidates/mba-jobs-company-profile_p.php?cpyID=16559&amp;cppID=816&amp;devprogram" TargetMode="External"/><Relationship Id="rId9" Type="http://schemas.openxmlformats.org/officeDocument/2006/relationships/hyperlink" Target="https://www.mba-exchange.com/candidates/mba-jobs-company-profile_p.php?cpyID=4040&amp;cppID=3236&amp;devprogram" TargetMode="External"/><Relationship Id="rId10" Type="http://schemas.openxmlformats.org/officeDocument/2006/relationships/hyperlink" Target="https://www.mba-exchange.com/candidates/mba-jobs-company-profile_p.php?cpyID=1834&amp;cppID=1717&amp;devprogram" TargetMode="External"/><Relationship Id="rId11" Type="http://schemas.openxmlformats.org/officeDocument/2006/relationships/hyperlink" Target="https://www.mba-exchange.com/candidates/mba-jobs-company-profile_p.php?cpyID=20844&amp;cppID=2789&amp;devprogram" TargetMode="External"/><Relationship Id="rId12" Type="http://schemas.openxmlformats.org/officeDocument/2006/relationships/hyperlink" Target="https://www.mba-exchange.com/candidates/mba-jobs-company-profile_p.php?cpyID=16993&amp;cppID=1878&amp;devprogram" TargetMode="External"/><Relationship Id="rId13" Type="http://schemas.openxmlformats.org/officeDocument/2006/relationships/hyperlink" Target="https://www.mba-exchange.com/candidates/mba-jobs-company-profile_p.php?cpyID=16811&amp;cppID=2781&amp;devprogram" TargetMode="External"/><Relationship Id="rId14" Type="http://schemas.openxmlformats.org/officeDocument/2006/relationships/hyperlink" Target="https://www.mba-exchange.com/candidates/mba-jobs-company-profile_p.php?cpyID=782&amp;cppID=4324&amp;devprogram" TargetMode="External"/><Relationship Id="rId15" Type="http://schemas.openxmlformats.org/officeDocument/2006/relationships/hyperlink" Target="https://www.mba-exchange.com/candidates/mba-jobs-company-profile_p.php?cpyID=5655&amp;cppID=1164&amp;devprogram" TargetMode="External"/><Relationship Id="rId16" Type="http://schemas.openxmlformats.org/officeDocument/2006/relationships/hyperlink" Target="https://www.mba-exchange.com/candidates/mba-jobs-company-profile_p.php?cpyID=16740&amp;cppID=2190&amp;devprogram" TargetMode="External"/><Relationship Id="rId17" Type="http://schemas.openxmlformats.org/officeDocument/2006/relationships/hyperlink" Target="https://www.mba-exchange.com/candidates/mba-jobs-company-profile_p.php?cpyID=16303&amp;cppID=6024&amp;devprogram" TargetMode="External"/><Relationship Id="rId18" Type="http://schemas.openxmlformats.org/officeDocument/2006/relationships/hyperlink" Target="https://www.mba-exchange.com/candidates/mba-jobs-company-profile_p.php?cpyID=17002&amp;cppID=2376&amp;devprogram" TargetMode="External"/><Relationship Id="rId19" Type="http://schemas.openxmlformats.org/officeDocument/2006/relationships/hyperlink" Target="https://www.mba-exchange.com/candidates/mba-jobs-company-profile_p.php?cpyID=16605&amp;cppID=1441&amp;devprogram" TargetMode="External"/><Relationship Id="rId20" Type="http://schemas.openxmlformats.org/officeDocument/2006/relationships/hyperlink" Target="https://www.mba-exchange.com/candidates/mba-jobs-company-profile_p.php?cpyID=16932&amp;cppID=1332&amp;devprogram" TargetMode="External"/><Relationship Id="rId21" Type="http://schemas.openxmlformats.org/officeDocument/2006/relationships/hyperlink" Target="https://www.mba-exchange.com/candidates/mba-jobs-company-profile_p.php?cpyID=17148&amp;cppID=2356&amp;devprogram" TargetMode="External"/><Relationship Id="rId22" Type="http://schemas.openxmlformats.org/officeDocument/2006/relationships/hyperlink" Target="https://www.mba-exchange.com/candidates/mba-jobs-company-profile_p.php?cpyID=676&amp;cppID=2652&amp;devprogram" TargetMode="External"/><Relationship Id="rId23" Type="http://schemas.openxmlformats.org/officeDocument/2006/relationships/hyperlink" Target="https://www.mba-exchange.com/candidates/mba-jobs-company-profile_p.php?cpyID=16740&amp;cppID=2191&amp;devprogram" TargetMode="External"/><Relationship Id="rId24" Type="http://schemas.openxmlformats.org/officeDocument/2006/relationships/hyperlink" Target="https://www.mba-exchange.com/candidates/mba-jobs-company-profile_p.php?cpyID=15336&amp;cppID=721&amp;devprogram" TargetMode="External"/><Relationship Id="rId25" Type="http://schemas.openxmlformats.org/officeDocument/2006/relationships/hyperlink" Target="https://www.mba-exchange.com/candidates/mba-jobs-company-profile_p.php?cpyID=16776&amp;cppID=1161&amp;devprogram" TargetMode="External"/><Relationship Id="rId26" Type="http://schemas.openxmlformats.org/officeDocument/2006/relationships/hyperlink" Target="https://www.mba-exchange.com/candidates/mba-jobs-company-profile_p.php?cpyID=17001&amp;cppID=5744&amp;devprogram" TargetMode="External"/><Relationship Id="rId27" Type="http://schemas.openxmlformats.org/officeDocument/2006/relationships/hyperlink" Target="https://www.mba-exchange.com/candidates/mba-jobs-company-profile_p.php?cpyID=8413&amp;cppID=2712&amp;devprogram" TargetMode="External"/><Relationship Id="rId28" Type="http://schemas.openxmlformats.org/officeDocument/2006/relationships/hyperlink" Target="https://www.mba-exchange.com/candidates/mba-jobs-company-profile_p.php?cpyID=7380&amp;cppID=4941&amp;devprogram" TargetMode="External"/><Relationship Id="rId29" Type="http://schemas.openxmlformats.org/officeDocument/2006/relationships/hyperlink" Target="https://www.mba-exchange.com/candidates/mba-jobs-company-profile_p.php?cpyID=16993&amp;cppID=717&amp;devprogram" TargetMode="External"/><Relationship Id="rId30" Type="http://schemas.openxmlformats.org/officeDocument/2006/relationships/hyperlink" Target="https://www.mba-exchange.com/candidates/mba-jobs-company-profile_p.php?cpyID=19058&amp;cppID=6112&amp;devprogra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22"/>
    <col collapsed="false" customWidth="true" hidden="false" outlineLevel="0" max="4" min="4" style="0" width="38"/>
    <col collapsed="false" customWidth="true" hidden="false" outlineLevel="0" max="5" min="5" style="0" width="11"/>
    <col collapsed="false" customWidth="true" hidden="false" outlineLevel="0" max="6" min="6" style="0" width="6"/>
    <col collapsed="false" customWidth="true" hidden="false" outlineLevel="0" max="7" min="7" style="0" width="56"/>
    <col collapsed="false" customWidth="true" hidden="false" outlineLevel="0" max="8" min="8" style="0" width="11"/>
    <col collapsed="false" customWidth="true" hidden="false" outlineLevel="0" max="9" min="9" style="0" width="40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</v>
      </c>
      <c r="B2" s="2" t="n">
        <v>264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  <c r="H2" s="2"/>
      <c r="I2" s="2"/>
    </row>
    <row r="3" customFormat="false" ht="23.85" hidden="false" customHeight="false" outlineLevel="0" collapsed="false">
      <c r="A3" s="2" t="n">
        <v>2</v>
      </c>
      <c r="B3" s="2" t="n">
        <v>75</v>
      </c>
      <c r="C3" s="2" t="s">
        <v>14</v>
      </c>
      <c r="D3" s="2" t="s">
        <v>15</v>
      </c>
      <c r="E3" s="2" t="s">
        <v>16</v>
      </c>
      <c r="F3" s="2" t="s">
        <v>12</v>
      </c>
      <c r="G3" s="3" t="s">
        <v>17</v>
      </c>
      <c r="H3" s="2"/>
      <c r="I3" s="2"/>
    </row>
    <row r="4" customFormat="false" ht="23.85" hidden="false" customHeight="false" outlineLevel="0" collapsed="false">
      <c r="A4" s="2" t="n">
        <v>3</v>
      </c>
      <c r="B4" s="2" t="n">
        <v>190</v>
      </c>
      <c r="C4" s="2" t="s">
        <v>18</v>
      </c>
      <c r="D4" s="2" t="s">
        <v>19</v>
      </c>
      <c r="E4" s="2" t="s">
        <v>11</v>
      </c>
      <c r="F4" s="2" t="s">
        <v>12</v>
      </c>
      <c r="G4" s="3" t="s">
        <v>20</v>
      </c>
      <c r="H4" s="2"/>
      <c r="I4" s="2"/>
    </row>
    <row r="5" customFormat="false" ht="15" hidden="false" customHeight="false" outlineLevel="0" collapsed="false">
      <c r="A5" s="2" t="n">
        <v>4</v>
      </c>
      <c r="B5" s="2" t="n">
        <v>221</v>
      </c>
      <c r="C5" s="2" t="s">
        <v>21</v>
      </c>
      <c r="D5" s="2" t="s">
        <v>22</v>
      </c>
      <c r="E5" s="2" t="s">
        <v>16</v>
      </c>
      <c r="F5" s="2" t="s">
        <v>12</v>
      </c>
      <c r="G5" s="3" t="s">
        <v>23</v>
      </c>
      <c r="H5" s="2"/>
      <c r="I5" s="2"/>
    </row>
    <row r="6" customFormat="false" ht="23.85" hidden="false" customHeight="false" outlineLevel="0" collapsed="false">
      <c r="A6" s="2" t="n">
        <v>5</v>
      </c>
      <c r="B6" s="2" t="n">
        <v>122</v>
      </c>
      <c r="C6" s="2" t="s">
        <v>24</v>
      </c>
      <c r="D6" s="2" t="s">
        <v>25</v>
      </c>
      <c r="E6" s="2" t="s">
        <v>16</v>
      </c>
      <c r="F6" s="2" t="s">
        <v>12</v>
      </c>
      <c r="G6" s="3" t="s">
        <v>26</v>
      </c>
      <c r="H6" s="2"/>
      <c r="I6" s="2"/>
    </row>
    <row r="7" customFormat="false" ht="15" hidden="false" customHeight="false" outlineLevel="0" collapsed="false">
      <c r="A7" s="2" t="n">
        <v>6</v>
      </c>
      <c r="B7" s="2" t="n">
        <v>372</v>
      </c>
      <c r="C7" s="2" t="s">
        <v>27</v>
      </c>
      <c r="D7" s="2" t="s">
        <v>28</v>
      </c>
      <c r="E7" s="2" t="s">
        <v>11</v>
      </c>
      <c r="F7" s="2" t="s">
        <v>12</v>
      </c>
      <c r="G7" s="3" t="s">
        <v>29</v>
      </c>
      <c r="H7" s="2"/>
      <c r="I7" s="2"/>
    </row>
    <row r="8" customFormat="false" ht="15" hidden="false" customHeight="false" outlineLevel="0" collapsed="false">
      <c r="A8" s="2" t="n">
        <v>7</v>
      </c>
      <c r="B8" s="2" t="n">
        <v>65</v>
      </c>
      <c r="C8" s="2" t="s">
        <v>30</v>
      </c>
      <c r="D8" s="2" t="s">
        <v>31</v>
      </c>
      <c r="E8" s="2" t="s">
        <v>11</v>
      </c>
      <c r="F8" s="2" t="s">
        <v>12</v>
      </c>
      <c r="G8" s="3" t="s">
        <v>32</v>
      </c>
      <c r="H8" s="2"/>
      <c r="I8" s="2"/>
    </row>
    <row r="9" customFormat="false" ht="15" hidden="false" customHeight="false" outlineLevel="0" collapsed="false">
      <c r="A9" s="2" t="n">
        <v>8</v>
      </c>
      <c r="B9" s="2" t="n">
        <v>200</v>
      </c>
      <c r="C9" s="2" t="s">
        <v>33</v>
      </c>
      <c r="D9" s="2" t="s">
        <v>34</v>
      </c>
      <c r="E9" s="2" t="s">
        <v>11</v>
      </c>
      <c r="F9" s="2" t="s">
        <v>12</v>
      </c>
      <c r="G9" s="3" t="s">
        <v>35</v>
      </c>
      <c r="H9" s="2"/>
      <c r="I9" s="2"/>
    </row>
    <row r="10" customFormat="false" ht="23.85" hidden="false" customHeight="false" outlineLevel="0" collapsed="false">
      <c r="A10" s="2" t="n">
        <v>9</v>
      </c>
      <c r="B10" s="2" t="n">
        <v>84</v>
      </c>
      <c r="C10" s="2" t="s">
        <v>36</v>
      </c>
      <c r="D10" s="2" t="s">
        <v>37</v>
      </c>
      <c r="E10" s="2" t="s">
        <v>16</v>
      </c>
      <c r="F10" s="2" t="s">
        <v>12</v>
      </c>
      <c r="G10" s="3" t="s">
        <v>38</v>
      </c>
      <c r="H10" s="2"/>
      <c r="I10" s="2"/>
    </row>
    <row r="11" customFormat="false" ht="15" hidden="false" customHeight="false" outlineLevel="0" collapsed="false">
      <c r="A11" s="2" t="n">
        <v>10</v>
      </c>
      <c r="B11" s="2" t="n">
        <v>331</v>
      </c>
      <c r="C11" s="2" t="s">
        <v>39</v>
      </c>
      <c r="D11" s="2" t="s">
        <v>40</v>
      </c>
      <c r="E11" s="2" t="s">
        <v>11</v>
      </c>
      <c r="F11" s="2" t="s">
        <v>12</v>
      </c>
      <c r="G11" s="3" t="s">
        <v>41</v>
      </c>
      <c r="H11" s="2"/>
      <c r="I11" s="2"/>
    </row>
    <row r="12" customFormat="false" ht="23.85" hidden="false" customHeight="false" outlineLevel="0" collapsed="false">
      <c r="A12" s="4" t="n">
        <v>11</v>
      </c>
      <c r="B12" s="4" t="n">
        <v>258</v>
      </c>
      <c r="C12" s="4" t="s">
        <v>42</v>
      </c>
      <c r="D12" s="4" t="s">
        <v>43</v>
      </c>
      <c r="E12" s="4" t="s">
        <v>16</v>
      </c>
      <c r="F12" s="4" t="s">
        <v>44</v>
      </c>
      <c r="G12" s="3" t="s">
        <v>45</v>
      </c>
      <c r="H12" s="4"/>
      <c r="I12" s="4"/>
    </row>
    <row r="13" customFormat="false" ht="23.85" hidden="false" customHeight="false" outlineLevel="0" collapsed="false">
      <c r="A13" s="4" t="n">
        <v>12</v>
      </c>
      <c r="B13" s="4" t="n">
        <v>329</v>
      </c>
      <c r="C13" s="4" t="s">
        <v>46</v>
      </c>
      <c r="D13" s="4" t="s">
        <v>47</v>
      </c>
      <c r="E13" s="4" t="s">
        <v>11</v>
      </c>
      <c r="F13" s="4" t="s">
        <v>44</v>
      </c>
      <c r="G13" s="3" t="s">
        <v>48</v>
      </c>
      <c r="H13" s="4"/>
      <c r="I13" s="4"/>
    </row>
    <row r="14" customFormat="false" ht="15" hidden="false" customHeight="false" outlineLevel="0" collapsed="false">
      <c r="A14" s="4" t="n">
        <v>13</v>
      </c>
      <c r="B14" s="4" t="n">
        <v>290</v>
      </c>
      <c r="C14" s="4" t="s">
        <v>49</v>
      </c>
      <c r="D14" s="4" t="s">
        <v>50</v>
      </c>
      <c r="E14" s="4" t="s">
        <v>11</v>
      </c>
      <c r="F14" s="4" t="s">
        <v>44</v>
      </c>
      <c r="G14" s="3" t="s">
        <v>51</v>
      </c>
      <c r="H14" s="4"/>
      <c r="I14" s="4"/>
    </row>
    <row r="15" customFormat="false" ht="23.85" hidden="false" customHeight="false" outlineLevel="0" collapsed="false">
      <c r="A15" s="4" t="n">
        <v>14</v>
      </c>
      <c r="B15" s="4" t="n">
        <v>269</v>
      </c>
      <c r="C15" s="4" t="s">
        <v>52</v>
      </c>
      <c r="D15" s="4" t="s">
        <v>53</v>
      </c>
      <c r="E15" s="4" t="s">
        <v>11</v>
      </c>
      <c r="F15" s="4" t="s">
        <v>44</v>
      </c>
      <c r="G15" s="3" t="s">
        <v>54</v>
      </c>
      <c r="H15" s="4"/>
      <c r="I15" s="4"/>
    </row>
    <row r="16" customFormat="false" ht="23.85" hidden="false" customHeight="false" outlineLevel="0" collapsed="false">
      <c r="A16" s="4" t="n">
        <v>15</v>
      </c>
      <c r="B16" s="4" t="n">
        <v>346</v>
      </c>
      <c r="C16" s="4" t="s">
        <v>55</v>
      </c>
      <c r="D16" s="4" t="s">
        <v>56</v>
      </c>
      <c r="E16" s="4" t="s">
        <v>11</v>
      </c>
      <c r="F16" s="4" t="s">
        <v>44</v>
      </c>
      <c r="G16" s="3" t="s">
        <v>57</v>
      </c>
      <c r="H16" s="4"/>
      <c r="I16" s="4"/>
    </row>
    <row r="17" customFormat="false" ht="15" hidden="false" customHeight="false" outlineLevel="0" collapsed="false">
      <c r="A17" s="4" t="n">
        <v>16</v>
      </c>
      <c r="B17" s="4" t="n">
        <v>306</v>
      </c>
      <c r="C17" s="4" t="s">
        <v>58</v>
      </c>
      <c r="D17" s="4" t="s">
        <v>59</v>
      </c>
      <c r="E17" s="4" t="s">
        <v>11</v>
      </c>
      <c r="F17" s="4" t="s">
        <v>44</v>
      </c>
      <c r="G17" s="3" t="s">
        <v>60</v>
      </c>
      <c r="H17" s="4"/>
      <c r="I17" s="4"/>
    </row>
    <row r="18" customFormat="false" ht="23.85" hidden="false" customHeight="false" outlineLevel="0" collapsed="false">
      <c r="A18" s="4" t="n">
        <v>17</v>
      </c>
      <c r="B18" s="4" t="n">
        <v>131</v>
      </c>
      <c r="C18" s="4" t="s">
        <v>61</v>
      </c>
      <c r="D18" s="4" t="s">
        <v>62</v>
      </c>
      <c r="E18" s="4" t="s">
        <v>16</v>
      </c>
      <c r="F18" s="4" t="s">
        <v>44</v>
      </c>
      <c r="G18" s="3" t="s">
        <v>63</v>
      </c>
      <c r="H18" s="4"/>
      <c r="I18" s="4"/>
    </row>
    <row r="19" customFormat="false" ht="23.85" hidden="false" customHeight="false" outlineLevel="0" collapsed="false">
      <c r="A19" s="4" t="n">
        <v>18</v>
      </c>
      <c r="B19" s="4" t="n">
        <v>198</v>
      </c>
      <c r="C19" s="4" t="s">
        <v>64</v>
      </c>
      <c r="D19" s="4" t="s">
        <v>65</v>
      </c>
      <c r="E19" s="4" t="s">
        <v>16</v>
      </c>
      <c r="F19" s="4" t="s">
        <v>44</v>
      </c>
      <c r="G19" s="3" t="s">
        <v>66</v>
      </c>
      <c r="H19" s="4"/>
      <c r="I19" s="4"/>
    </row>
    <row r="20" customFormat="false" ht="23.85" hidden="false" customHeight="false" outlineLevel="0" collapsed="false">
      <c r="A20" s="4" t="n">
        <v>19</v>
      </c>
      <c r="B20" s="4" t="n">
        <v>250</v>
      </c>
      <c r="C20" s="4" t="s">
        <v>67</v>
      </c>
      <c r="D20" s="4" t="s">
        <v>68</v>
      </c>
      <c r="E20" s="4" t="s">
        <v>11</v>
      </c>
      <c r="F20" s="4" t="s">
        <v>44</v>
      </c>
      <c r="G20" s="3" t="s">
        <v>69</v>
      </c>
      <c r="H20" s="4"/>
      <c r="I20" s="4"/>
    </row>
    <row r="21" customFormat="false" ht="15" hidden="false" customHeight="false" outlineLevel="0" collapsed="false">
      <c r="A21" s="4" t="n">
        <v>20</v>
      </c>
      <c r="B21" s="4" t="n">
        <v>202</v>
      </c>
      <c r="C21" s="4" t="s">
        <v>70</v>
      </c>
      <c r="D21" s="4" t="s">
        <v>71</v>
      </c>
      <c r="E21" s="4" t="s">
        <v>11</v>
      </c>
      <c r="F21" s="4" t="s">
        <v>44</v>
      </c>
      <c r="G21" s="3" t="s">
        <v>72</v>
      </c>
      <c r="H21" s="4"/>
      <c r="I21" s="4"/>
    </row>
    <row r="22" customFormat="false" ht="15" hidden="false" customHeight="false" outlineLevel="0" collapsed="false">
      <c r="A22" s="4" t="n">
        <v>21</v>
      </c>
      <c r="B22" s="4" t="n">
        <v>133</v>
      </c>
      <c r="C22" s="4" t="s">
        <v>73</v>
      </c>
      <c r="D22" s="4" t="s">
        <v>74</v>
      </c>
      <c r="E22" s="4" t="s">
        <v>11</v>
      </c>
      <c r="F22" s="4" t="s">
        <v>44</v>
      </c>
      <c r="G22" s="3" t="s">
        <v>75</v>
      </c>
      <c r="H22" s="4"/>
      <c r="I22" s="4"/>
    </row>
    <row r="23" customFormat="false" ht="15" hidden="false" customHeight="false" outlineLevel="0" collapsed="false">
      <c r="A23" s="4" t="n">
        <v>22</v>
      </c>
      <c r="B23" s="4" t="n">
        <v>350</v>
      </c>
      <c r="C23" s="4" t="s">
        <v>76</v>
      </c>
      <c r="D23" s="4" t="s">
        <v>10</v>
      </c>
      <c r="E23" s="4" t="s">
        <v>11</v>
      </c>
      <c r="F23" s="4" t="s">
        <v>44</v>
      </c>
      <c r="G23" s="3" t="s">
        <v>77</v>
      </c>
      <c r="H23" s="4"/>
      <c r="I23" s="4"/>
    </row>
    <row r="24" customFormat="false" ht="15" hidden="false" customHeight="false" outlineLevel="0" collapsed="false">
      <c r="A24" s="4" t="n">
        <v>23</v>
      </c>
      <c r="B24" s="4" t="n">
        <v>315</v>
      </c>
      <c r="C24" s="4" t="s">
        <v>58</v>
      </c>
      <c r="D24" s="4" t="s">
        <v>78</v>
      </c>
      <c r="E24" s="4" t="s">
        <v>11</v>
      </c>
      <c r="F24" s="4" t="s">
        <v>44</v>
      </c>
      <c r="G24" s="3" t="s">
        <v>79</v>
      </c>
      <c r="H24" s="4"/>
      <c r="I24" s="4"/>
    </row>
    <row r="25" customFormat="false" ht="23.85" hidden="false" customHeight="false" outlineLevel="0" collapsed="false">
      <c r="A25" s="4" t="n">
        <v>24</v>
      </c>
      <c r="B25" s="4" t="n">
        <v>294</v>
      </c>
      <c r="C25" s="4" t="s">
        <v>80</v>
      </c>
      <c r="D25" s="4" t="s">
        <v>81</v>
      </c>
      <c r="E25" s="4" t="s">
        <v>16</v>
      </c>
      <c r="F25" s="4" t="s">
        <v>44</v>
      </c>
      <c r="G25" s="3" t="s">
        <v>82</v>
      </c>
      <c r="H25" s="4"/>
      <c r="I25" s="4"/>
    </row>
    <row r="26" customFormat="false" ht="15" hidden="false" customHeight="false" outlineLevel="0" collapsed="false">
      <c r="A26" s="4" t="n">
        <v>25</v>
      </c>
      <c r="B26" s="4" t="n">
        <v>211</v>
      </c>
      <c r="C26" s="4" t="s">
        <v>83</v>
      </c>
      <c r="D26" s="4" t="s">
        <v>84</v>
      </c>
      <c r="E26" s="4" t="s">
        <v>16</v>
      </c>
      <c r="F26" s="4" t="s">
        <v>44</v>
      </c>
      <c r="G26" s="3" t="s">
        <v>85</v>
      </c>
      <c r="H26" s="4"/>
      <c r="I26" s="4"/>
    </row>
    <row r="27" customFormat="false" ht="23.85" hidden="false" customHeight="false" outlineLevel="0" collapsed="false">
      <c r="A27" s="4" t="n">
        <v>26</v>
      </c>
      <c r="B27" s="4" t="n">
        <v>321</v>
      </c>
      <c r="C27" s="4" t="s">
        <v>86</v>
      </c>
      <c r="D27" s="4" t="s">
        <v>87</v>
      </c>
      <c r="E27" s="4" t="s">
        <v>16</v>
      </c>
      <c r="F27" s="4" t="s">
        <v>44</v>
      </c>
      <c r="G27" s="3" t="s">
        <v>88</v>
      </c>
      <c r="H27" s="4"/>
      <c r="I27" s="4"/>
    </row>
    <row r="28" customFormat="false" ht="15" hidden="false" customHeight="false" outlineLevel="0" collapsed="false">
      <c r="A28" s="4" t="n">
        <v>27</v>
      </c>
      <c r="B28" s="4" t="n">
        <v>314</v>
      </c>
      <c r="C28" s="4" t="s">
        <v>89</v>
      </c>
      <c r="D28" s="4" t="s">
        <v>90</v>
      </c>
      <c r="E28" s="4" t="s">
        <v>16</v>
      </c>
      <c r="F28" s="4" t="s">
        <v>44</v>
      </c>
      <c r="G28" s="3" t="s">
        <v>91</v>
      </c>
      <c r="H28" s="4"/>
      <c r="I28" s="4"/>
    </row>
    <row r="29" customFormat="false" ht="23.85" hidden="false" customHeight="false" outlineLevel="0" collapsed="false">
      <c r="A29" s="4" t="n">
        <v>28</v>
      </c>
      <c r="B29" s="4" t="n">
        <v>386</v>
      </c>
      <c r="C29" s="4" t="s">
        <v>92</v>
      </c>
      <c r="D29" s="4" t="s">
        <v>93</v>
      </c>
      <c r="E29" s="4" t="s">
        <v>16</v>
      </c>
      <c r="F29" s="4" t="s">
        <v>44</v>
      </c>
      <c r="G29" s="3" t="s">
        <v>94</v>
      </c>
      <c r="H29" s="4"/>
      <c r="I29" s="4"/>
    </row>
    <row r="30" customFormat="false" ht="23.85" hidden="false" customHeight="false" outlineLevel="0" collapsed="false">
      <c r="A30" s="4" t="n">
        <v>29</v>
      </c>
      <c r="B30" s="4" t="n">
        <v>375</v>
      </c>
      <c r="C30" s="4" t="s">
        <v>46</v>
      </c>
      <c r="D30" s="4" t="s">
        <v>95</v>
      </c>
      <c r="E30" s="4" t="s">
        <v>16</v>
      </c>
      <c r="F30" s="4" t="s">
        <v>44</v>
      </c>
      <c r="G30" s="3" t="s">
        <v>96</v>
      </c>
      <c r="H30" s="4"/>
      <c r="I30" s="4"/>
    </row>
    <row r="31" customFormat="false" ht="23.85" hidden="false" customHeight="false" outlineLevel="0" collapsed="false">
      <c r="A31" s="4" t="n">
        <v>30</v>
      </c>
      <c r="B31" s="4" t="n">
        <v>129</v>
      </c>
      <c r="C31" s="4" t="s">
        <v>97</v>
      </c>
      <c r="D31" s="4" t="s">
        <v>98</v>
      </c>
      <c r="E31" s="4" t="s">
        <v>16</v>
      </c>
      <c r="F31" s="4" t="s">
        <v>44</v>
      </c>
      <c r="G31" s="3" t="s">
        <v>99</v>
      </c>
      <c r="H31" s="4"/>
      <c r="I31" s="4"/>
    </row>
  </sheetData>
  <dataValidations count="1">
    <dataValidation allowBlank="true" error="Choose one: good, minor, remove" errorStyle="stop" errorTitle="Invalid score" operator="between" prompt="good = ✓ keep · minor = ⚠ keep with caveat · remove = ✗ delete" promptTitle="Score this program" showDropDown="false" showErrorMessage="false" showInputMessage="false" sqref="H2:H31" type="list">
      <formula1>"good,minor,remove"</formula1>
      <formula2>0</formula2>
    </dataValidation>
  </dataValidations>
  <hyperlinks>
    <hyperlink ref="G2" r:id="rId1" display="https://www.mba-exchange.com/candidates/mba-jobs-company-profile_p.php?cpyID=13187&amp;cppID=2310&amp;devprogram"/>
    <hyperlink ref="G3" r:id="rId2" display="https://www.mba-exchange.com/candidates/mba-jobs-company-profile_p.php?cpyID=15158&amp;cppID=6467&amp;devprogram"/>
    <hyperlink ref="G4" r:id="rId3" display="https://www.mba-exchange.com/candidates/mba-jobs-company-profile_p.php?cpyID=16268&amp;cppID=2746&amp;devprogram"/>
    <hyperlink ref="G5" r:id="rId4" display="https://www.mba-exchange.com/candidates/mba-jobs-company-profile_p.php?cpyID=1383&amp;cppID=2678&amp;devprogram"/>
    <hyperlink ref="G6" r:id="rId5" display="https://www.mba-exchange.com/candidates/mba-jobs-company-profile_p.php?cpyID=22636&amp;cppID=3340&amp;devprogram"/>
    <hyperlink ref="G7" r:id="rId6" display="https://www.mba-exchange.com/candidates/mba-jobs-company-profile_p.php?cpyID=3157&amp;cppID=2548&amp;devprogram"/>
    <hyperlink ref="G8" r:id="rId7" display="https://www.mba-exchange.com/candidates/mba-jobs-company-profile_p.php?cpyID=258&amp;cppID=5687&amp;devprogram"/>
    <hyperlink ref="G9" r:id="rId8" display="https://www.mba-exchange.com/candidates/mba-jobs-company-profile_p.php?cpyID=16559&amp;cppID=816&amp;devprogram"/>
    <hyperlink ref="G10" r:id="rId9" display="https://www.mba-exchange.com/candidates/mba-jobs-company-profile_p.php?cpyID=4040&amp;cppID=3236&amp;devprogram"/>
    <hyperlink ref="G11" r:id="rId10" display="https://www.mba-exchange.com/candidates/mba-jobs-company-profile_p.php?cpyID=1834&amp;cppID=1717&amp;devprogram"/>
    <hyperlink ref="G12" r:id="rId11" display="https://www.mba-exchange.com/candidates/mba-jobs-company-profile_p.php?cpyID=20844&amp;cppID=2789&amp;devprogram"/>
    <hyperlink ref="G13" r:id="rId12" display="https://www.mba-exchange.com/candidates/mba-jobs-company-profile_p.php?cpyID=16993&amp;cppID=1878&amp;devprogram"/>
    <hyperlink ref="G14" r:id="rId13" display="https://www.mba-exchange.com/candidates/mba-jobs-company-profile_p.php?cpyID=16811&amp;cppID=2781&amp;devprogram"/>
    <hyperlink ref="G15" r:id="rId14" display="https://www.mba-exchange.com/candidates/mba-jobs-company-profile_p.php?cpyID=782&amp;cppID=4324&amp;devprogram"/>
    <hyperlink ref="G16" r:id="rId15" display="https://www.mba-exchange.com/candidates/mba-jobs-company-profile_p.php?cpyID=5655&amp;cppID=1164&amp;devprogram"/>
    <hyperlink ref="G17" r:id="rId16" display="https://www.mba-exchange.com/candidates/mba-jobs-company-profile_p.php?cpyID=16740&amp;cppID=2190&amp;devprogram"/>
    <hyperlink ref="G18" r:id="rId17" display="https://www.mba-exchange.com/candidates/mba-jobs-company-profile_p.php?cpyID=16303&amp;cppID=6024&amp;devprogram"/>
    <hyperlink ref="G19" r:id="rId18" display="https://www.mba-exchange.com/candidates/mba-jobs-company-profile_p.php?cpyID=17002&amp;cppID=2376&amp;devprogram"/>
    <hyperlink ref="G20" r:id="rId19" display="https://www.mba-exchange.com/candidates/mba-jobs-company-profile_p.php?cpyID=16605&amp;cppID=1441&amp;devprogram"/>
    <hyperlink ref="G21" r:id="rId20" display="https://www.mba-exchange.com/candidates/mba-jobs-company-profile_p.php?cpyID=16932&amp;cppID=1332&amp;devprogram"/>
    <hyperlink ref="G22" r:id="rId21" display="https://www.mba-exchange.com/candidates/mba-jobs-company-profile_p.php?cpyID=17148&amp;cppID=2356&amp;devprogram"/>
    <hyperlink ref="G23" r:id="rId22" display="https://www.mba-exchange.com/candidates/mba-jobs-company-profile_p.php?cpyID=676&amp;cppID=2652&amp;devprogram"/>
    <hyperlink ref="G24" r:id="rId23" display="https://www.mba-exchange.com/candidates/mba-jobs-company-profile_p.php?cpyID=16740&amp;cppID=2191&amp;devprogram"/>
    <hyperlink ref="G25" r:id="rId24" display="https://www.mba-exchange.com/candidates/mba-jobs-company-profile_p.php?cpyID=15336&amp;cppID=721&amp;devprogram"/>
    <hyperlink ref="G26" r:id="rId25" display="https://www.mba-exchange.com/candidates/mba-jobs-company-profile_p.php?cpyID=16776&amp;cppID=1161&amp;devprogram"/>
    <hyperlink ref="G27" r:id="rId26" display="https://www.mba-exchange.com/candidates/mba-jobs-company-profile_p.php?cpyID=17001&amp;cppID=5744&amp;devprogram"/>
    <hyperlink ref="G28" r:id="rId27" display="https://www.mba-exchange.com/candidates/mba-jobs-company-profile_p.php?cpyID=8413&amp;cppID=2712&amp;devprogram"/>
    <hyperlink ref="G29" r:id="rId28" display="https://www.mba-exchange.com/candidates/mba-jobs-company-profile_p.php?cpyID=7380&amp;cppID=4941&amp;devprogram"/>
    <hyperlink ref="G30" r:id="rId29" display="https://www.mba-exchange.com/candidates/mba-jobs-company-profile_p.php?cpyID=16993&amp;cppID=717&amp;devprogram"/>
    <hyperlink ref="G31" r:id="rId30" display="https://www.mba-exchange.com/candidates/mba-jobs-company-profile_p.php?cpyID=19058&amp;cppID=6112&amp;devprogra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56"/>
  </cols>
  <sheetData>
    <row r="1" customFormat="false" ht="17.35" hidden="false" customHeight="false" outlineLevel="0" collapsed="false">
      <c r="A1" s="5" t="s">
        <v>100</v>
      </c>
      <c r="B1" s="5"/>
      <c r="C1" s="5"/>
    </row>
    <row r="2" customFormat="false" ht="15" hidden="false" customHeight="false" outlineLevel="0" collapsed="false">
      <c r="A2" s="6" t="s">
        <v>101</v>
      </c>
      <c r="B2" s="6"/>
      <c r="C2" s="6"/>
    </row>
    <row r="4" customFormat="false" ht="15" hidden="false" customHeight="false" outlineLevel="0" collapsed="false">
      <c r="A4" s="7" t="s">
        <v>102</v>
      </c>
      <c r="B4" s="8" t="n">
        <v>344</v>
      </c>
      <c r="C4" s="9" t="s">
        <v>103</v>
      </c>
    </row>
    <row r="5" customFormat="false" ht="15" hidden="false" customHeight="false" outlineLevel="0" collapsed="false">
      <c r="A5" s="7" t="s">
        <v>104</v>
      </c>
      <c r="B5" s="8" t="n">
        <v>236</v>
      </c>
      <c r="C5" s="9" t="s">
        <v>105</v>
      </c>
    </row>
    <row r="6" customFormat="false" ht="15" hidden="false" customHeight="false" outlineLevel="0" collapsed="false">
      <c r="A6" s="7" t="s">
        <v>106</v>
      </c>
      <c r="B6" s="8" t="n">
        <v>108</v>
      </c>
      <c r="C6" s="9" t="s">
        <v>107</v>
      </c>
    </row>
    <row r="8" customFormat="false" ht="15" hidden="false" customHeight="false" outlineLevel="0" collapsed="false">
      <c r="A8" s="7" t="s">
        <v>108</v>
      </c>
      <c r="B8" s="8" t="n">
        <v>30</v>
      </c>
      <c r="C8" s="9" t="s">
        <v>109</v>
      </c>
    </row>
    <row r="10" customFormat="false" ht="15" hidden="false" customHeight="false" outlineLevel="0" collapsed="false">
      <c r="A10" s="7" t="s">
        <v>110</v>
      </c>
    </row>
    <row r="11" customFormat="false" ht="15" hidden="false" customHeight="false" outlineLevel="0" collapsed="false">
      <c r="A11" s="10" t="s">
        <v>111</v>
      </c>
      <c r="B11" s="11" t="n">
        <f aca="false">COUNTIF(Audit!H2:H31, "good")</f>
        <v>0</v>
      </c>
    </row>
    <row r="12" customFormat="false" ht="15" hidden="false" customHeight="false" outlineLevel="0" collapsed="false">
      <c r="A12" s="10" t="s">
        <v>112</v>
      </c>
      <c r="B12" s="11" t="n">
        <f aca="false">COUNTIF(Audit!H2:H31, "minor")</f>
        <v>0</v>
      </c>
    </row>
    <row r="13" customFormat="false" ht="15" hidden="false" customHeight="false" outlineLevel="0" collapsed="false">
      <c r="A13" s="10" t="s">
        <v>113</v>
      </c>
      <c r="B13" s="11" t="n">
        <f aca="false">COUNTIF(Audit!H2:H31, "remove")</f>
        <v>0</v>
      </c>
    </row>
    <row r="14" customFormat="false" ht="15" hidden="false" customHeight="false" outlineLevel="0" collapsed="false">
      <c r="A14" s="10" t="s">
        <v>114</v>
      </c>
      <c r="B14" s="11" t="n">
        <f aca="false">COUNTBLANK(Audit!H2:H31)</f>
        <v>30</v>
      </c>
    </row>
    <row r="16" customFormat="false" ht="15" hidden="false" customHeight="false" outlineLevel="0" collapsed="false">
      <c r="A16" s="7" t="s">
        <v>115</v>
      </c>
    </row>
    <row r="17" customFormat="false" ht="15" hidden="false" customHeight="false" outlineLevel="0" collapsed="false">
      <c r="A17" s="10" t="s">
        <v>116</v>
      </c>
      <c r="B17" s="12" t="n">
        <f aca="false">IFERROR(B11/(B11+B12+B13), 0)</f>
        <v>0</v>
      </c>
    </row>
    <row r="18" customFormat="false" ht="15" hidden="false" customHeight="false" outlineLevel="0" collapsed="false">
      <c r="A18" s="10" t="s">
        <v>117</v>
      </c>
      <c r="B18" s="13" t="n">
        <f aca="false">IFERROR(B12/(B11+B12+B13), 0)</f>
        <v>0</v>
      </c>
    </row>
    <row r="19" customFormat="false" ht="15" hidden="false" customHeight="false" outlineLevel="0" collapsed="false">
      <c r="A19" s="10" t="s">
        <v>118</v>
      </c>
      <c r="B19" s="14" t="n">
        <f aca="false">IFERROR(B13/(B11+B12+B13), 0)</f>
        <v>0</v>
      </c>
    </row>
    <row r="21" customFormat="false" ht="15" hidden="false" customHeight="false" outlineLevel="0" collapsed="false">
      <c r="A21" s="7" t="s">
        <v>119</v>
      </c>
    </row>
    <row r="22" customFormat="false" ht="15" hidden="false" customHeight="false" outlineLevel="0" collapsed="false">
      <c r="A22" s="0" t="s">
        <v>120</v>
      </c>
      <c r="B22" s="11" t="n">
        <f aca="false">ROUND(B19*344, 0)</f>
        <v>0</v>
      </c>
      <c r="C22" s="9" t="s">
        <v>121</v>
      </c>
    </row>
    <row r="23" customFormat="false" ht="15" hidden="false" customHeight="false" outlineLevel="0" collapsed="false">
      <c r="A23" s="0" t="s">
        <v>122</v>
      </c>
      <c r="B23" s="11" t="n">
        <f aca="false">ROUND(B17*344, 0)</f>
        <v>0</v>
      </c>
    </row>
    <row r="25" customFormat="false" ht="15" hidden="false" customHeight="false" outlineLevel="0" collapsed="false">
      <c r="A25" s="15" t="s">
        <v>123</v>
      </c>
      <c r="B25" s="16" t="str">
        <f aca="false">IF(B14&gt;0, "Score remaining rows first", IF(B19&lt;0.1, "SHIP AS-IS (bad &lt; 10%)", IF(B19&gt;0.25, "RE-FILTER CSV (bad &gt; 25%)", "BORDERLINE — review minors + remove the bad rows individually")))</f>
        <v>Score remaining rows first</v>
      </c>
      <c r="C25" s="16"/>
    </row>
    <row r="26" customFormat="false" ht="15" hidden="false" customHeight="false" outlineLevel="0" collapsed="false">
      <c r="B26" s="17" t="s">
        <v>124</v>
      </c>
      <c r="C26" s="17"/>
    </row>
    <row r="28" customFormat="false" ht="15" hidden="false" customHeight="false" outlineLevel="0" collapsed="false">
      <c r="A28" s="7" t="s">
        <v>125</v>
      </c>
    </row>
    <row r="29" customFormat="false" ht="15" hidden="false" customHeight="false" outlineLevel="0" collapsed="false">
      <c r="A29" s="18" t="s">
        <v>126</v>
      </c>
      <c r="B29" s="18"/>
      <c r="C29" s="18"/>
    </row>
    <row r="30" customFormat="false" ht="15" hidden="false" customHeight="false" outlineLevel="0" collapsed="false">
      <c r="A30" s="18" t="s">
        <v>127</v>
      </c>
      <c r="B30" s="18"/>
      <c r="C30" s="18"/>
    </row>
    <row r="31" customFormat="false" ht="15" hidden="false" customHeight="false" outlineLevel="0" collapsed="false">
      <c r="A31" s="18" t="s">
        <v>128</v>
      </c>
      <c r="B31" s="18"/>
      <c r="C31" s="18"/>
    </row>
    <row r="32" customFormat="false" ht="15" hidden="false" customHeight="false" outlineLevel="0" collapsed="false">
      <c r="A32" s="18" t="s">
        <v>129</v>
      </c>
      <c r="B32" s="18"/>
      <c r="C32" s="18"/>
    </row>
    <row r="33" customFormat="false" ht="15" hidden="false" customHeight="false" outlineLevel="0" collapsed="false">
      <c r="A33" s="18" t="s">
        <v>130</v>
      </c>
      <c r="B33" s="18"/>
      <c r="C33" s="18"/>
    </row>
  </sheetData>
  <mergeCells count="9">
    <mergeCell ref="A1:C1"/>
    <mergeCell ref="A2:C2"/>
    <mergeCell ref="B25:C25"/>
    <mergeCell ref="B26:C26"/>
    <mergeCell ref="A29:C29"/>
    <mergeCell ref="A30:C30"/>
    <mergeCell ref="A31:C31"/>
    <mergeCell ref="A32:C32"/>
    <mergeCell ref="A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2026-05-16T06:40:43Z</dcterms:created>
  <dc:creator>openpyxl</dc:creator>
  <dc:description/>
  <dc:language>en-US</dc:language>
  <cp:lastModifiedBy/>
  <dcterms:modified xsi:type="dcterms:W3CDTF">2026-05-16T06:40:43Z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